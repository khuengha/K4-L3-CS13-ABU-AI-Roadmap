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 File thực hành · Đề 1 · SổSạch</t>
        </is>
      </c>
    </row>
    <row r="2" ht="15" customHeight="1" s="33">
      <c r="A2" s="35" t="inlineStr">
        <is>
          <t>AI in Action · Track 1 · Khóa 4. FILE LÀM BÀI CỦA NHÓM · Đề 1 · SổSạch. Dữ liệu của đề nằm trong file CS13_HoSoTinhHuong.pdf; file CS13_Roadmap_Mau.xlsx là bản mẫu đã điền (một sản phẩm khác) để xem cách điền.</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1.</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hồ sơ tình huống, Đề 1 (5 phút)</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inlineStr">
        <is>
          <t>Số liệu đã có ở trang 2, dòng 12–20; dùng nguyên trạng</t>
        </is>
      </c>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inlineStr">
        <is>
          <t>1 việc = 1 hoá đơn được đọc, đối chiếu và nhập vào phần mềm kế toán</t>
        </is>
      </c>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inlineStr">
        <is>
          <t>Giữ nguyên thứ tự 6 việc; chọn Chờ cho việc 5 và 6 (lý do ở cột Q trang 1)</t>
        </is>
      </c>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inlineStr">
        <is>
          <t>Kết luận là Phát hành nên không có việc bắt buộc phải làm trước</t>
        </is>
      </c>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inlineStr">
        <is>
          <t>Chị Hạnh 3 giờ/tuần sáng thứ Bảy; anh Tùng chấm kèm; 1 vòng bộ đề 40 ca ~8,5 giờ</t>
        </is>
      </c>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inlineStr">
        <is>
          <t>Người duyệt: kế toán viên của công ty; Mức 1 duyệt ~20%, Mức 2 ~10%</t>
        </is>
      </c>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Nhập tự động hoá đơn điện tử (tệp gốc)</t>
        </is>
      </c>
      <c r="C5" s="40" t="inlineStr">
        <is>
          <t>Giảm 70% thời gian nhập hoá đơn điện tử</t>
        </is>
      </c>
      <c r="D5" s="40" t="inlineStr">
        <is>
          <t>Ta tin rằng kết nối nhập tự động tệp gốc sẽ giúp 40 văn phòng giảm 70% thời gian nhập hoá đơn điện tử; biết đúng khi tỷ lệ nhập đúng đạt 95% trên 500 hoá đơn thật trong 2 tuần</t>
        </is>
      </c>
      <c r="E5" s="40" t="inlineStr">
        <is>
          <t>Tỷ lệ nhập đúng ≥ 95%; 0 lỗi mã số thuế/tiền; cỡ mẫu 500 hoá đơn/2 tuần</t>
        </is>
      </c>
      <c r="F5" s="40" t="n">
        <v>5</v>
      </c>
      <c r="G5" s="40" t="n">
        <v>4</v>
      </c>
      <c r="H5" s="40" t="n">
        <v>1</v>
      </c>
      <c r="I5" s="40" t="n">
        <v>2</v>
      </c>
      <c r="J5" s="40" t="n">
        <v>1</v>
      </c>
      <c r="K5" s="40" t="n">
        <v>1</v>
      </c>
      <c r="L5" s="40" t="n">
        <v>0.2</v>
      </c>
      <c r="M5" s="44">
        <f>IF(COUNT(F5:L5)&lt;7,"",ROUND(F5*G5*H5/I5*(0.5+0.5*AVERAGE(J5:K5))*(1-0.5*L5),2))</f>
        <v/>
      </c>
      <c r="N5" s="44">
        <f>IF(M5="","",RANK(M5,$M$5:$M$14))</f>
        <v/>
      </c>
      <c r="O5" s="45">
        <f>IF(B5="","",IF(OR(D5="",E5=""),"Thiếu",IF(SUMPRODUCT(--ISNUMBER(SEARCH({"0","1","2","3","4","5","6","7","8","9"},E5)))&gt;0,"Có","Thiếu")))</f>
        <v/>
      </c>
      <c r="P5" s="46" t="inlineStr">
        <is>
          <t>Tự làm</t>
        </is>
      </c>
      <c r="Q5" s="46" t="inlineStr">
        <is>
          <t>Phần mềm kế toán đã có sẵn nhập tệp gốc; phủ cao nhất (12.000 hoá đơn/tháng) nên làm đầu</t>
        </is>
      </c>
    </row>
    <row r="6" ht="23.25" customHeight="1" s="33">
      <c r="A6" s="43" t="n">
        <v>2</v>
      </c>
      <c r="B6" s="40" t="inlineStr">
        <is>
          <t>Gắn cờ hoá đơn cần người xem</t>
        </is>
      </c>
      <c r="C6" s="40" t="inlineStr">
        <is>
          <t>Kế toán chỉ xem khoảng 25% hoá đơn</t>
        </is>
      </c>
      <c r="D6" s="40" t="inlineStr">
        <is>
          <t>Ta tin rằng cờ tự động sẽ giúp kế toán chỉ xem 25% hoá đơn thay vì 100%; biết đúng khi tỷ lệ cờ ≤ 25% và 0 lỗi lọt qua mặt cờ trong 1 tháng</t>
        </is>
      </c>
      <c r="E6" s="40" t="inlineStr">
        <is>
          <t>Tỷ lệ cờ ≤ 25%; 0 lỗi lọt qua cờ; cỡ mẫu 2.000 hoá đơn/tháng</t>
        </is>
      </c>
      <c r="F6" s="40" t="n">
        <v>5</v>
      </c>
      <c r="G6" s="40" t="n">
        <v>4</v>
      </c>
      <c r="H6" s="40" t="n">
        <v>0.8</v>
      </c>
      <c r="I6" s="40" t="n">
        <v>2</v>
      </c>
      <c r="J6" s="40" t="n">
        <v>1</v>
      </c>
      <c r="K6" s="40" t="n">
        <v>0.8</v>
      </c>
      <c r="L6" s="40" t="n">
        <v>0.1</v>
      </c>
      <c r="M6" s="44">
        <f>IF(COUNT(F6:L6)&lt;7,"",ROUND(F6*G6*H6/I6*(0.5+0.5*AVERAGE(J6:K6))*(1-0.5*L6),2))</f>
        <v/>
      </c>
      <c r="N6" s="44">
        <f>IF(M6="","",RANK(M6,$M$5:$M$14))</f>
        <v/>
      </c>
      <c r="O6" s="45">
        <f>IF(B6="","",IF(OR(D6="",E6=""),"Thiếu",IF(SUMPRODUCT(--ISNUMBER(SEARCH({"0","1","2","3","4","5","6","7","8","9"},E6)))&gt;0,"Có","Thiếu")))</f>
        <v/>
      </c>
      <c r="P6" s="46" t="inlineStr">
        <is>
          <t>Tự làm</t>
        </is>
      </c>
      <c r="Q6" s="46" t="inlineStr">
        <is>
          <t>Đi cùng việc nhập tự động; chậm hơn vì cần lệch gắn cờ từ dữ liệu thật</t>
        </is>
      </c>
    </row>
    <row r="7" ht="23.25" customHeight="1" s="33">
      <c r="A7" s="43" t="n">
        <v>3</v>
      </c>
      <c r="B7" s="40" t="inlineStr">
        <is>
          <t>Đọc ảnh hoá đơn giấy, ảnh chụp</t>
        </is>
      </c>
      <c r="C7" s="40" t="inlineStr">
        <is>
          <t>Giảm 50% giờ nhập hoá đơn ảnh</t>
        </is>
      </c>
      <c r="D7" s="40" t="inlineStr">
        <is>
          <t>Ta tin rằng đọc ảnh hai bước sẽ giúp kế toán giảm 50% giờ nhập hoá đơn giấy; biết đúng khi tỷ lệ đúng ≥ 95% trên 200 ảnh trong 2 tuần</t>
        </is>
      </c>
      <c r="E7" s="40" t="inlineStr">
        <is>
          <t>Tỷ lệ đúng ảnh ≥ 95%; 0 lỗi mã số thuế/tiền; cỡ mẫu 200 ảnh/2 tuần</t>
        </is>
      </c>
      <c r="F7" s="40" t="n">
        <v>4</v>
      </c>
      <c r="G7" s="40" t="n">
        <v>4</v>
      </c>
      <c r="H7" s="40" t="n">
        <v>0.8</v>
      </c>
      <c r="I7" s="40" t="n">
        <v>3</v>
      </c>
      <c r="J7" s="40" t="n">
        <v>0.6</v>
      </c>
      <c r="K7" s="40" t="n">
        <v>0.6</v>
      </c>
      <c r="L7" s="40" t="n">
        <v>0.2</v>
      </c>
      <c r="M7" s="44">
        <f>IF(COUNT(F7:L7)&lt;7,"",ROUND(F7*G7*H7/I7*(0.5+0.5*AVERAGE(J7:K7))*(1-0.5*L7),2))</f>
        <v/>
      </c>
      <c r="N7" s="44">
        <f>IF(M7="","",RANK(M7,$M$5:$M$14))</f>
        <v/>
      </c>
      <c r="O7" s="45">
        <f>IF(B7="","",IF(OR(D7="",E7=""),"Thiếu",IF(SUMPRODUCT(--ISNUMBER(SEARCH({"0","1","2","3","4","5","6","7","8","9"},E7)))&gt;0,"Có","Thiếu")))</f>
        <v/>
      </c>
      <c r="P7" s="46" t="inlineStr">
        <is>
          <t>Tự làm</t>
        </is>
      </c>
      <c r="Q7" s="46" t="inlineStr">
        <is>
          <t>Bản 2 đã qua cổng phát hành với hoá đơn; ảnh cần thêm dữ liệu thật nên sau nhập tệp gốc</t>
        </is>
      </c>
    </row>
    <row r="8" ht="23.25" customHeight="1" s="33">
      <c r="A8" s="43" t="n">
        <v>4</v>
      </c>
      <c r="B8" s="40" t="inlineStr">
        <is>
          <t>Đối chiếu mã số thuế người bán</t>
        </is>
      </c>
      <c r="C8" s="40" t="inlineStr">
        <is>
          <t>Không nhập nhầm người bán</t>
        </is>
      </c>
      <c r="D8" s="40" t="inlineStr">
        <is>
          <t>Ta tin rằng đối chiếu MST qua dịch vụ tra cứu sẽ loại lỗi nhập nhầm người bán; biết đúng khi 0 sai lệch MST trên 1.000 hoá đơn trong 1 tháng</t>
        </is>
      </c>
      <c r="E8" s="40" t="inlineStr">
        <is>
          <t>0 sai lệch mã số thuế; cỡ mẫu 1.000 hoá đơn/tháng</t>
        </is>
      </c>
      <c r="F8" s="40" t="n">
        <v>4</v>
      </c>
      <c r="G8" s="40" t="n">
        <v>3</v>
      </c>
      <c r="H8" s="40" t="n">
        <v>1</v>
      </c>
      <c r="I8" s="40" t="n">
        <v>2</v>
      </c>
      <c r="J8" s="40" t="n">
        <v>0.8</v>
      </c>
      <c r="K8" s="40" t="n">
        <v>0.8</v>
      </c>
      <c r="L8" s="40" t="n">
        <v>0.1</v>
      </c>
      <c r="M8" s="44">
        <f>IF(COUNT(F8:L8)&lt;7,"",ROUND(F8*G8*H8/I8*(0.5+0.5*AVERAGE(J8:K8))*(1-0.5*L8),2))</f>
        <v/>
      </c>
      <c r="N8" s="44">
        <f>IF(M8="","",RANK(M8,$M$5:$M$14))</f>
        <v/>
      </c>
      <c r="O8" s="45">
        <f>IF(B8="","",IF(OR(D8="",E8=""),"Thiếu",IF(SUMPRODUCT(--ISNUMBER(SEARCH({"0","1","2","3","4","5","6","7","8","9"},E8)))&gt;0,"Có","Thiếu")))</f>
        <v/>
      </c>
      <c r="P8" s="46" t="inlineStr">
        <is>
          <t>Tự làm</t>
        </is>
      </c>
      <c r="Q8" s="46" t="inlineStr">
        <is>
          <t>Có dịch vụ tra cứu MST sẵn; lỗi này thuộc nhóm cấm nên ưu tiên sau hai việc nhập và cờ</t>
        </is>
      </c>
    </row>
    <row r="9" ht="23.25" customHeight="1" s="33">
      <c r="A9" s="43" t="n">
        <v>5</v>
      </c>
      <c r="B9" s="40" t="inlineStr">
        <is>
          <t>Gợi ý tài khoản hạch toán</t>
        </is>
      </c>
      <c r="C9" s="40" t="inlineStr">
        <is>
          <t>Giảm 30% thời gian hạch toán</t>
        </is>
      </c>
      <c r="D9" s="40" t="inlineStr">
        <is>
          <t>Ta tin rằng gợi ý hạch toán sẽ giảm 30% thời gian hạch toán; biết đúng khi tỷ lệ gợi ý được giữ nguyên ≥ 70% trên 500 hoá đơn</t>
        </is>
      </c>
      <c r="E9" s="40" t="inlineStr">
        <is>
          <t>Tỷ lệ giữ nguyên gợi ý ≥ 70%; cỡ mẫu 500 hoá đơn</t>
        </is>
      </c>
      <c r="F9" s="40" t="n">
        <v>4</v>
      </c>
      <c r="G9" s="40" t="n">
        <v>3</v>
      </c>
      <c r="H9" s="40" t="n">
        <v>0.5</v>
      </c>
      <c r="I9" s="40" t="n">
        <v>3</v>
      </c>
      <c r="J9" s="40" t="n">
        <v>0.3</v>
      </c>
      <c r="K9" s="40" t="n">
        <v>0.3</v>
      </c>
      <c r="L9" s="40" t="n">
        <v>0.3</v>
      </c>
      <c r="M9" s="44">
        <f>IF(COUNT(F9:L9)&lt;7,"",ROUND(F9*G9*H9/I9*(0.5+0.5*AVERAGE(J9:K9))*(1-0.5*L9),2))</f>
        <v/>
      </c>
      <c r="N9" s="44">
        <f>IF(M9="","",RANK(M9,$M$5:$M$14))</f>
        <v/>
      </c>
      <c r="O9" s="45">
        <f>IF(B9="","",IF(OR(D9="",E9=""),"Thiếu",IF(SUMPRODUCT(--ISNUMBER(SEARCH({"0","1","2","3","4","5","6","7","8","9"},E9)))&gt;0,"Có","Thiếu")))</f>
        <v/>
      </c>
      <c r="P9" s="46" t="inlineStr">
        <is>
          <t>Chờ</t>
        </is>
      </c>
      <c r="Q9" s="46" t="inlineStr">
        <is>
          <t>Chưa có dữ liệu hạch toán của khách hàng; rủi ro bị nuốt cao nên Chờ — xem lại ở mốc Sau này (khi đã có dữ liệu hạch toán thật của ≥ 5 khách và Mức 2 ổn định, xem trang 3)</t>
        </is>
      </c>
    </row>
    <row r="10" ht="23.25" customHeight="1" s="33">
      <c r="A10" s="43" t="n">
        <v>6</v>
      </c>
      <c r="B10" s="40" t="inlineStr">
        <is>
          <t>Trả lời câu hỏi thuế chung cho khách của văn phòng</t>
        </is>
      </c>
      <c r="C10" s="40" t="inlineStr">
        <is>
          <t>Bớt cuộc gọi hỏi đáp</t>
        </is>
      </c>
      <c r="D10" s="40" t="inlineStr">
        <is>
          <t>Ta tin rằng trợ lý trả lời câu hỏi thuế chung sẽ bớt 30% cuộc gọi hỏi đáp; biết đúng khi ≥ 60% câu được khách đánh giá hữu ích trên 100 câu</t>
        </is>
      </c>
      <c r="E10" s="40" t="inlineStr">
        <is>
          <t>≥ 60% câu trả lời được đánh giá hữu ích; 0 câu trả lời sai luật; cỡ mẫu 100 câu</t>
        </is>
      </c>
      <c r="F10" s="40" t="n">
        <v>3</v>
      </c>
      <c r="G10" s="40" t="n">
        <v>2</v>
      </c>
      <c r="H10" s="40" t="n">
        <v>0.5</v>
      </c>
      <c r="I10" s="40" t="n">
        <v>3</v>
      </c>
      <c r="J10" s="40" t="n">
        <v>0.5</v>
      </c>
      <c r="K10" s="40" t="n">
        <v>0.5</v>
      </c>
      <c r="L10" s="40" t="n">
        <v>0.2</v>
      </c>
      <c r="M10" s="44">
        <f>IF(COUNT(F10:L10)&lt;7,"",ROUND(F10*G10*H10/I10*(0.5+0.5*AVERAGE(J10:K10))*(1-0.5*L10),2))</f>
        <v/>
      </c>
      <c r="N10" s="44">
        <f>IF(M10="","",RANK(M10,$M$5:$M$14))</f>
        <v/>
      </c>
      <c r="O10" s="45">
        <f>IF(B10="","",IF(OR(D10="",E10=""),"Thiếu",IF(SUMPRODUCT(--ISNUMBER(SEARCH({"0","1","2","3","4","5","6","7","8","9"},E10)))&gt;0,"Có","Thiếu")))</f>
        <v/>
      </c>
      <c r="P10" s="46" t="inlineStr">
        <is>
          <t>Chờ</t>
        </is>
      </c>
      <c r="Q10" s="46" t="inlineStr">
        <is>
          <t>Ngoài 1 việc chính của đề; rủi ro sai tư vấn thuế nên Chờ — xem lại ở mốc Sau này (chỉ mở khi hai việc đầu đạt cổng và có bộ đề kiểm tra câu trả lời riêng)</t>
        </is>
      </c>
    </row>
    <row r="11" ht="15" customHeight="1" s="33">
      <c r="A11" s="43" t="n">
        <v>7</v>
      </c>
      <c r="B11" s="40" t="n"/>
      <c r="C11" s="40" t="n"/>
      <c r="D11" s="40" t="n"/>
      <c r="E11" s="40" t="n"/>
      <c r="F11" s="40" t="n"/>
      <c r="G11" s="40" t="n"/>
      <c r="H11" s="40" t="n"/>
      <c r="I11" s="40" t="n"/>
      <c r="J11" s="40" t="n"/>
      <c r="K11" s="40" t="n"/>
      <c r="L11" s="40" t="n"/>
      <c r="M11" s="44">
        <f>IF(COUNT(F11:L11)&lt;7,"",ROUND(F11*G11*H11/I11*(0.5+0.5*AVERAGE(J11:K11))*(1-0.5*L11),2))</f>
        <v/>
      </c>
      <c r="N11" s="44">
        <f>IF(M11="","",RANK(M11,$M$5:$M$14))</f>
        <v/>
      </c>
      <c r="O11" s="45">
        <f>IF(B11="","",IF(OR(D11="",E11=""),"Thiếu",IF(SUMPRODUCT(--ISNUMBER(SEARCH({"0","1","2","3","4","5","6","7","8","9"},E11)))&gt;0,"Có","Thiếu")))</f>
        <v/>
      </c>
      <c r="P11" s="46" t="n"/>
      <c r="Q11" s="46" t="n"/>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t>
        </is>
      </c>
      <c r="C5" s="40" t="inlineStr">
        <is>
          <t>Đọc và gợi ý kết quả nhập + cờ; chưa tự nhập</t>
        </is>
      </c>
      <c r="D5" s="40" t="inlineStr">
        <is>
          <t>Kế toán xem lại 100% và nhập/xác nhận từng hoá đơn</t>
        </is>
      </c>
      <c r="E5" s="40" t="inlineStr">
        <is>
          <t>Đã đạt: bộ đề 40 hoá đơn đạt 97,3% (≥ 95%), 0 lỗi nghiêm trọng, kappa 0,90 (≥ 0,6)</t>
        </is>
      </c>
      <c r="F5" s="40" t="inlineStr">
        <is>
          <t>Phần mềm kế toán hiện có; dịch vụ tra cứu MST; bộ đề 40 ca</t>
        </is>
      </c>
      <c r="G5" s="40" t="inlineStr">
        <is>
          <t>Tháng 1: chạy thật, kiểm 1% hoá đơn, đếm riêng tỷ lệ cờ thừa</t>
        </is>
      </c>
      <c r="H5" s="47" t="n">
        <v>1</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Tự nhập hoá đơn điện tử tệp gốc và gắn cờ hoá đơn đáng ngờ</t>
        </is>
      </c>
      <c r="D6" s="40" t="inlineStr">
        <is>
          <t>Duyệt 20%: toàn bộ hoá đơn gắn cờ + mẫu 10% hoá đơn không cờ</t>
        </is>
      </c>
      <c r="E6" s="40" t="inlineStr">
        <is>
          <t>Cổng lên Mức 1: ≥ 500 hoá đơn thật/2 tuần; tỷ lệ nhập đúng ≥ 95%; 0 lỗi MST/tiền; tỷ lệ cờ ≤ 25%; kappa người duyệt ≥ 0,6</t>
        </is>
      </c>
      <c r="F6" s="40" t="inlineStr">
        <is>
          <t>Luồng duyệt trong phần mềm; nhật ký đầy đủ; thông báo khách đang dùng AI theo Luật AI 134/2025/QH15</t>
        </is>
      </c>
      <c r="G6" s="40" t="inlineStr">
        <is>
          <t>Tháng 2–3: mở cho toàn bộ 40 văn phòng thử nghiệm</t>
        </is>
      </c>
      <c r="H6" s="47" t="n">
        <v>0.2</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Tự nhập và tự xác nhận hoá đơn không cờ; cờ mới chuyển người</t>
        </is>
      </c>
      <c r="D7" s="40" t="inlineStr">
        <is>
          <t>Duyệt 10% mẫu ngẫu nhiên + toàn bộ hoá đơn gắn cờ</t>
        </is>
      </c>
      <c r="E7" s="40" t="inlineStr">
        <is>
          <t>Cổng lên Mức 2: ≥ 2.000 hoá đơn thật/tháng; tỷ lệ đúng ≥ 97%; 0 lỗi MST/tiền; tỷ lệ cờ ≤ 20%; chi phí/việc ≤ 600đ</t>
        </is>
      </c>
      <c r="F7" s="40" t="inlineStr">
        <is>
          <t>Giám sát dashboard tỷ lệ cờ và lỗi theo tuần; cảnh báo tự động khi có 1 lỗi MST/tiền</t>
        </is>
      </c>
      <c r="G7" s="40" t="inlineStr">
        <is>
          <t>Tháng 4–6: mở rộng sau khi qua cổng</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Tự nhập cả hoá đơn ảnh và đối chiếu MST; người chỉ giám sát</t>
        </is>
      </c>
      <c r="D8" s="40" t="inlineStr">
        <is>
          <t>Xem dashboard giám sát + mẫu 5% mỗi tuần; xử lý cảnh báo</t>
        </is>
      </c>
      <c r="E8" s="40" t="inlineStr">
        <is>
          <t>Cổng lên Mức 3: 3 tháng liên tiếp đúng ≥ 97%; 0 lỗi MST/tiền; tỷ lệ cờ ≤ 15%; doanh thu bình quân ≥ 3,71 triệu/văn phòng</t>
        </is>
      </c>
      <c r="F8" s="40" t="inlineStr">
        <is>
          <t>Hạ tầng giám sát chạy thường xuyên; quy trình xử lý sự cố; báo cáo tuân thủ định kỳ</t>
        </is>
      </c>
      <c r="G8" s="40" t="inlineStr">
        <is>
          <t>Tháng 7–12: chỉ khi qua cổng và biên lợi nhuận ≥ 60%</t>
        </is>
      </c>
      <c r="H8" s="47" t="n">
        <v>0.05</v>
      </c>
      <c r="I8" s="46" t="inlineStr">
        <is>
          <t>Người của mình</t>
        </is>
      </c>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254</v>
      </c>
      <c r="C12" s="53" t="inlineStr">
        <is>
          <t>Hồ sơ, bảng Số liệu kinh tế, dòng 1</t>
        </is>
      </c>
    </row>
    <row r="13" ht="15" customHeight="1" s="33">
      <c r="A13" s="51" t="inlineStr">
        <is>
          <t>Hạ tầng + đánh giá + khác / việc</t>
        </is>
      </c>
      <c r="B13" s="52" t="n">
        <v>200</v>
      </c>
      <c r="C13" s="53" t="inlineStr">
        <is>
          <t>dòng 2</t>
        </is>
      </c>
    </row>
    <row r="14" ht="15" customHeight="1" s="33">
      <c r="A14" s="51" t="inlineStr">
        <is>
          <t>Số phút người duyệt / việc</t>
        </is>
      </c>
      <c r="B14" s="54" t="n">
        <v>1.5</v>
      </c>
      <c r="C14" s="53" t="inlineStr">
        <is>
          <t>dòng 3</t>
        </is>
      </c>
    </row>
    <row r="15" ht="15" customHeight="1" s="33">
      <c r="A15" s="51" t="inlineStr">
        <is>
          <t>Chi phí 1 giờ người duyệt (đ)</t>
        </is>
      </c>
      <c r="B15" s="52" t="n">
        <v>50000</v>
      </c>
      <c r="C15" s="53" t="inlineStr">
        <is>
          <t>dòng 4</t>
        </is>
      </c>
    </row>
    <row r="16" ht="15" customHeight="1" s="33">
      <c r="A16" s="51" t="inlineStr">
        <is>
          <t>Doanh thu bình quân / khách / tháng (đ)</t>
        </is>
      </c>
      <c r="B16" s="52" t="n">
        <v>3970000</v>
      </c>
      <c r="C16" s="53" t="inlineStr">
        <is>
          <t>dòng 5</t>
        </is>
      </c>
    </row>
    <row r="17" ht="15" customHeight="1" s="33">
      <c r="A17" s="51" t="inlineStr">
        <is>
          <t>Số việc bình quân / khách / tháng</t>
        </is>
      </c>
      <c r="B17" s="52" t="n">
        <v>1760</v>
      </c>
      <c r="C17" s="53" t="inlineStr">
        <is>
          <t>dòng 6</t>
        </is>
      </c>
    </row>
    <row r="18" ht="15" customHeight="1" s="33">
      <c r="A18" s="51" t="inlineStr">
        <is>
          <t>Biến nguy hiểm nhất</t>
        </is>
      </c>
      <c r="B18" s="46" t="inlineStr">
        <is>
          <t>Doanh thu bình quân (65% doanh thu đến từ 30% văn phòng dùng nhiều)</t>
        </is>
      </c>
      <c r="C18" s="53" t="inlineStr">
        <is>
          <t>dòng 7</t>
        </is>
      </c>
    </row>
    <row r="19" ht="15" customHeight="1" s="33">
      <c r="A19" s="51" t="inlineStr">
        <is>
          <t>Điều kiện dừng đã chọn (theo đề)</t>
        </is>
      </c>
      <c r="B19" s="46" t="inlineStr">
        <is>
          <t>NẾU doanh thu bình quân dưới 3,71 triệu/văn phòng trong 2 tháng liên tiếp, trên ít nhất 10 văn phòng, THÌ dừng mở rộng</t>
        </is>
      </c>
      <c r="C19" s="53" t="inlineStr">
        <is>
          <t>dòng 8</t>
        </is>
      </c>
    </row>
    <row r="20" ht="15" customHeight="1" s="33">
      <c r="A20" s="51" t="inlineStr">
        <is>
          <t>Kịch bản xấu hết tiền ở tháng</t>
        </is>
      </c>
      <c r="B20" s="55" t="n">
        <v>7</v>
      </c>
      <c r="C20" s="53" t="inlineStr">
        <is>
          <t>dòng 9</t>
        </is>
      </c>
    </row>
    <row r="22" ht="15" customHeight="1" s="33">
      <c r="A22" s="53" t="inlineStr">
        <is>
          <t>Ghi chú: người duyệt của mình là kế toán viên của công ty. Gợi ý của đề: Mức 1 duyệt khoảng 20%; Mức 2 khoảng 10%.</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Nhập tự động hoá đơn điện tử tệp gốc cho 40 văn phòng (12.000 hoá đơn/tháng) + gắn cờ</t>
        </is>
      </c>
      <c r="C5" s="40" t="inlineStr">
        <is>
          <t>Đọc ảnh hoá đơn giấy + đối chiếu mã số thuế người bán</t>
        </is>
      </c>
      <c r="D5" s="40" t="inlineStr">
        <is>
          <t>Tự động có giám sát toàn bộ hoá đơn điện tử + ảnh (Mức 3); gợi ý hạch toán khi có dữ liệu khách</t>
        </is>
      </c>
      <c r="E5" s="32" t="inlineStr">
        <is>
          <t>Mức 1 – Hỗ trợ có duyệt, người duyệt 20%</t>
        </is>
      </c>
      <c r="F5" s="32" t="inlineStr">
        <is>
          <t>Lên Mức 2 khi: ≥ 2.000 hoá đơn/tháng; đúng ≥ 97%; 0 lỗi MST/tiền; cờ ≤ 20%; chi phí/việc ≤ 600đ</t>
        </is>
      </c>
      <c r="G5" s="32" t="inlineStr">
        <is>
          <t>Phần mềm kế toán có nhập tệp gốc; dịch vụ tra cứu MST; chị Hạnh 3h/tuần + anh Tùng (bộ đề 40 ca ~8,5h/vòng); thông báo dùng AI theo Luật AI 134/2025/QH15</t>
        </is>
      </c>
      <c r="H5" s="32" t="inlineStr">
        <is>
          <t>Chi phí Mức 1 = 704đ/việc (254 AI + 200 hạ tầng + 250 duyệt 20%) trên doanh thu 2.256đ/việc → biên 68,8% ≥ 60%</t>
        </is>
      </c>
      <c r="I5" s="32" t="inlineStr">
        <is>
          <t>DỪNG nếu doanh thu bình quân dưới 3,71 triệu/văn phòng trong 2 tháng liên tiếp (≥ 10 văn phòng) hoặc 1 lỗi MST/tiền lọt</t>
        </is>
      </c>
    </row>
    <row r="6" ht="48" customHeight="1" s="33">
      <c r="A6" s="56" t="inlineStr">
        <is>
          <t>Giả thuyết</t>
        </is>
      </c>
      <c r="B6" s="40" t="inlineStr">
        <is>
          <t>Ta tin rằng nhập tự động + cờ giúp giảm ≥ 70% giờ nhập; biết đúng khi đúng ≥ 95% trên 500 hoá đơn/2 tuần</t>
        </is>
      </c>
      <c r="C6" s="40" t="inlineStr">
        <is>
          <t>Ta tin rằng đọc ảnh 2 bước + đối chiếu MST giảm thêm 50% giờ nhập ảnh; biết đúng khi ảnh đúng ≥ 95% trên 200 ảnh/2 tuần</t>
        </is>
      </c>
      <c r="D6" s="40" t="inlineStr">
        <is>
          <t>Ta tin rằng Mức 3 giữ chất lượng khi người chỉ duyệt mẫu 5%; biết đúng khi 3 tháng liên tiếp 0 lỗi MST/tiền</t>
        </is>
      </c>
      <c r="E6" s="32" t="inlineStr">
        <is>
          <t>Mức 2 – Tự động một phần, người duyệt 10%</t>
        </is>
      </c>
      <c r="F6" s="32" t="inlineStr">
        <is>
          <t>Lên Mức 3 khi: 3 tháng liên tiếp đúng ≥ 97%; 0 lỗi MST/tiền; cờ ≤ 15%</t>
        </is>
      </c>
      <c r="G6" s="32" t="inlineStr">
        <is>
          <t>Quy trình chụp ảnh chuẩn; dịch vụ tra cứu MST tích hợp; 1 vòng chấm bộ đề ảnh (~4h chuyên gia)</t>
        </is>
      </c>
      <c r="H6" s="32" t="inlineStr">
        <is>
          <t>Chi phí Mức 2 = 579đ/việc (duyệt 10%) → biên 74,3%; chi phí Mức 3 = 517đ/việc → biên 77,1%</t>
        </is>
      </c>
      <c r="I6" s="32" t="inlineStr">
        <is>
          <t>ĐỔI HƯỚNG nếu tỷ lệ cờ vượt 25% trong 2 tuần hoặc ảnh đúng dưới 95% sau 1 vòng sửa</t>
        </is>
      </c>
    </row>
    <row r="7" ht="48" customHeight="1" s="33">
      <c r="A7" s="56" t="inlineStr">
        <is>
          <t>Chỉ số thành công và ngưỡng</t>
        </is>
      </c>
      <c r="B7" s="40" t="inlineStr">
        <is>
          <t>Tỷ lệ nhập đúng ≥ 95%; 0 lỗi MST/tiền; tỷ lệ cờ ≤ 25%; kappa người duyệt ≥ 0,6</t>
        </is>
      </c>
      <c r="C7" s="40" t="inlineStr">
        <is>
          <t>Ảnh đúng ≥ 95%; 0 sai lệch MST trên 1.000 hoá đơn; tỷ lệ cờ không tăng quá 25%</t>
        </is>
      </c>
      <c r="D7" s="40" t="inlineStr">
        <is>
          <t>Đúng ≥ 97% ba tháng liên tiếp; 0 lỗi MST/tiền; cờ ≤ 15%; doanh thu ≥ 3,71 triệu/văn phòng</t>
        </is>
      </c>
      <c r="E7" s="32" t="inlineStr">
        <is>
          <t>Mức 3 – Tự động có giám sát</t>
        </is>
      </c>
      <c r="F7" s="32" t="inlineStr">
        <is>
          <t>Giữ Mức 3: giám sát hàng tuần; quay Mức 2 nếu 1 lỗi nghiêm trọng</t>
        </is>
      </c>
      <c r="G7" s="32" t="inlineStr">
        <is>
          <t>Dashboard giám sát; quy trình sự cố; báo cáo tuân thủ; dữ liệu hạch toán khách (chưa có, chỉ cần cho việc gợi ý hạch toán)</t>
        </is>
      </c>
      <c r="H7" s="32" t="inlineStr">
        <is>
          <t>Chi phí Mức 3 = 517đ/việc → biên 77,1% trên doanh thu 2.256đ/việc (3,97 triệu ÷ 1.760 việc)</t>
        </is>
      </c>
      <c r="I7" s="32" t="inlineStr">
        <is>
          <t>QUAY MỨC 2 nếu 1 lỗi MST/tiền lọt; DỪNG mở rộng theo điều kiện dừng của đề</t>
        </is>
      </c>
    </row>
    <row r="8" ht="48" customHeight="1" s="33">
      <c r="A8" s="56" t="inlineStr">
        <is>
          <t>Mức tự động (trang 2)</t>
        </is>
      </c>
      <c r="B8" s="40" t="inlineStr">
        <is>
          <t>Mức 1 – Hỗ trợ có duyệt, người duyệt 20%</t>
        </is>
      </c>
      <c r="C8" s="40" t="inlineStr">
        <is>
          <t>Mức 2 – Tự động một phần, người duyệt 10%</t>
        </is>
      </c>
      <c r="D8" s="40" t="inlineStr">
        <is>
          <t>Mức 3 – Tự động có giám sát</t>
        </is>
      </c>
      <c r="E8" s="32" t="inlineStr">
        <is>
          <t>Mức 0–1 – chỉ gợi ý, người quyết</t>
        </is>
      </c>
      <c r="F8" s="32" t="inlineStr">
        <is>
          <t>Chỉ mở khi đã có dữ liệu hạch toán thật của ≥ 5 khách và Mức 2 ổn định</t>
        </is>
      </c>
      <c r="G8" s="32" t="inlineStr">
        <is>
          <t>Dữ liệu hạch toán khách hàng (chưa có); sự đồng ý của khách về việc dùng dữ liệu</t>
        </is>
      </c>
      <c r="H8" s="32" t="inlineStr">
        <is>
          <t>Chưa tính chi phí riêng; dùng cùng hạ tầng nên tăng thêm &lt; 100đ/việc</t>
        </is>
      </c>
      <c r="I8" s="32" t="inlineStr">
        <is>
          <t>Bỏ nếu sau 1 vòng thử nghiệm tỷ lệ giữ nguyên dưới 50%</t>
        </is>
      </c>
    </row>
    <row r="9" ht="48" customHeight="1" s="33">
      <c r="A9" s="56" t="inlineStr">
        <is>
          <t>Cổng đánh giá</t>
        </is>
      </c>
      <c r="B9" s="40" t="inlineStr">
        <is>
          <t>Lên Mức 2 khi: ≥ 2.000 hoá đơn/tháng; đúng ≥ 97%; 0 lỗi MST/tiền; cờ ≤ 20%; chi phí/việc ≤ 600đ</t>
        </is>
      </c>
      <c r="C9" s="40" t="inlineStr">
        <is>
          <t>Lên Mức 3 khi: 3 tháng liên tiếp đúng ≥ 97%; 0 lỗi MST/tiền; cờ ≤ 15%</t>
        </is>
      </c>
      <c r="D9" s="40" t="inlineStr">
        <is>
          <t>Giữ Mức 3: giám sát hàng tuần; quay Mức 2 nếu 1 lỗi nghiêm trọng</t>
        </is>
      </c>
    </row>
    <row r="10" ht="48" customHeight="1" s="33">
      <c r="A10" s="56" t="inlineStr">
        <is>
          <t>Điều kiện cần: dữ liệu / hạ tầng / tuân thủ</t>
        </is>
      </c>
      <c r="B10" s="40" t="inlineStr">
        <is>
          <t>Phần mềm kế toán có nhập tệp gốc; dịch vụ tra cứu MST; chị Hạnh 3h/tuần + anh Tùng (bộ đề 40 ca ~8,5h/vòng); thông báo dùng AI theo Luật AI 134/2025/QH15</t>
        </is>
      </c>
      <c r="C10" s="40" t="inlineStr">
        <is>
          <t>Quy trình chụp ảnh chuẩn; dịch vụ tra cứu MST tích hợp; 1 vòng chấm bộ đề ảnh (~4h chuyên gia)</t>
        </is>
      </c>
      <c r="D10" s="40" t="inlineStr">
        <is>
          <t>Dashboard giám sát; quy trình sự cố; báo cáo tuân thủ; dữ liệu hạch toán khách (chưa có, cần cho gợi ý hạch toán)</t>
        </is>
      </c>
    </row>
    <row r="11" ht="48" customHeight="1" s="33">
      <c r="A11" s="56" t="inlineStr">
        <is>
          <t>Căn cứ kinh tế (số liệu của đề và trang 2)</t>
        </is>
      </c>
      <c r="B11" s="40" t="inlineStr">
        <is>
          <t>Chi phí Mức 1 = 704đ/việc (254 AI + 200 hạ tầng + 250 duyệt 20%) trên doanh thu 2.256đ/việc → biên 68,8% ≥ 60%</t>
        </is>
      </c>
      <c r="C11" s="40" t="inlineStr">
        <is>
          <t>Chi phí Mức 2 = 579đ/việc (duyệt 10%) → biên 74,3% trên doanh thu 2.256đ/việc</t>
        </is>
      </c>
      <c r="D11" s="40" t="inlineStr">
        <is>
          <t>Chi phí Mức 3 = 517đ/việc → biên 77,1% trên doanh thu 2.256đ/việc (3,97 triệu ÷ 1.760 việc)</t>
        </is>
      </c>
    </row>
    <row r="12" ht="48" customHeight="1" s="33">
      <c r="A12" s="56" t="inlineStr">
        <is>
          <t>Điều kiện dừng / đổi hướng</t>
        </is>
      </c>
      <c r="B12" s="40" t="inlineStr">
        <is>
          <t>NẾU doanh thu bình quân dưới 3,71 triệu/văn phòng trong 2 tháng liên tiếp (trên ≥ 10 văn phòng) HOẶC có 1 lỗi mã số thuế/tiền lọt, VÀO mốc rà ngày 30/60/90, THÌ dừng mở rộng hoặc lùi về Mức 0</t>
        </is>
      </c>
      <c r="C12" s="40" t="inlineStr">
        <is>
          <t>ĐỔI HƯỚNG nếu tỷ lệ cờ vượt 25% trong 2 tuần hoặc ảnh đúng dưới 95% sau 1 vòng sửa</t>
        </is>
      </c>
      <c r="D12" s="40" t="inlineStr">
        <is>
          <t>NẾU có 1 lỗi MST/tiền lọt hoặc tỷ lệ bản phải sửa vượt 20% trong tuần, VÀO mốc rà hàng tuần, THÌ quay về Mức 2; DỪNG mở rộng theo điều kiện dừng của đề</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Tỷ lệ nhập đúng trên 500 hoá đơn thật; tỷ lệ cờ; doanh thu bình quân/văn phòng</t>
        </is>
      </c>
      <c r="C5" s="40" t="inlineStr">
        <is>
          <t>Đi tiếp nếu đúng ≥ 95%, 0 lỗi MST/tiền; sửa nếu cờ vượt 25%; dừng nếu 1 lỗi nghiêm trọng</t>
        </is>
      </c>
      <c r="D5" s="40" t="inlineStr">
        <is>
          <t>Chị Hạnh + lãnh đạo</t>
        </is>
      </c>
    </row>
    <row r="6" ht="15" customHeight="1" s="33">
      <c r="A6" s="40" t="inlineStr">
        <is>
          <t>Ngày 60</t>
        </is>
      </c>
      <c r="B6" s="40" t="inlineStr">
        <is>
          <t>Đúng ≥ 97%; cờ ≤ 20%; chi phí/việc; biên lợi nhuận ≥ 60%</t>
        </is>
      </c>
      <c r="C6" s="40" t="inlineStr">
        <is>
          <t>Đi tiếp: công bố Mức 2 cho toàn bộ văn phòng khi đủ cổng; sửa nếu kappa người duyệt &lt; 0,6</t>
        </is>
      </c>
      <c r="D6" s="40" t="inlineStr">
        <is>
          <t>Lãnh đạo công ty</t>
        </is>
      </c>
    </row>
    <row r="7" ht="15" customHeight="1" s="33">
      <c r="A7" s="40" t="inlineStr">
        <is>
          <t>Ngày 90</t>
        </is>
      </c>
      <c r="B7" s="40" t="inlineStr">
        <is>
          <t>Đúng 3 tháng liên tiếp; cờ ≤ 15%; doanh thu ≥ 3,71 triệu/văn phòng; số văn phòng gia hạn</t>
        </is>
      </c>
      <c r="C7" s="40" t="inlineStr">
        <is>
          <t>Đi tiếp lên Mức 3 hoặc dừng mở rộng theo điều kiện dừng; chưa đo được giá trị vòng đời nên chỉ dùng chỉ số đã đủ dữ liệu</t>
        </is>
      </c>
      <c r="D7" s="40" t="inlineStr">
        <is>
          <t>Lãnh đạo + chị Hạnh</t>
        </is>
      </c>
    </row>
    <row r="8" ht="15" customHeight="1" s="33">
      <c r="A8" s="40" t="inlineStr">
        <is>
          <t>Có mô hình mới / giá gọi AI giảm mạnh</t>
        </is>
      </c>
      <c r="B8" s="40" t="inlineStr">
        <is>
          <t>Chi phí gọi AI/việc và biên lợi nhuận theo mức</t>
        </is>
      </c>
      <c r="C8" s="40" t="inlineStr">
        <is>
          <t>Nếu chi phí giảm: nới % duyệt hoặc hạ ngưỡng chi phí; tính lại giá bán</t>
        </is>
      </c>
      <c r="D8" s="40" t="inlineStr">
        <is>
          <t>Kỹ sư + lãnh đạo</t>
        </is>
      </c>
    </row>
    <row r="9" ht="15" customHeight="1" s="33">
      <c r="A9" s="40" t="inlineStr">
        <is>
          <t>Nền tảng hoặc đối thủ ra tính năng tương tự</t>
        </is>
      </c>
      <c r="B9" s="40" t="inlineStr">
        <is>
          <t>Giờ nhập tiết kiệm được; tỷ lệ cờ; phản hồi của văn phòng</t>
        </is>
      </c>
      <c r="C9" s="40" t="inlineStr">
        <is>
          <t>Đổi hướng tính năng nếu đối thủ phủ được việc nhập tự động; ưu tiên khác biệt hoá bằng cờ và đối chiếu MST</t>
        </is>
      </c>
      <c r="D9" s="40" t="inlineStr">
        <is>
          <t>Lãnh đạo + chị Hạnh</t>
        </is>
      </c>
    </row>
    <row r="10" ht="15" customHeight="1" s="33">
      <c r="A10" s="40" t="inlineStr">
        <is>
          <t>Quy định pháp lý thay đổi</t>
        </is>
      </c>
      <c r="B10" s="40" t="inlineStr">
        <is>
          <t>Mức rủi ro của hệ thống theo Luật AI 134/2025/QH15; nghĩa vụ thông báo người dùng</t>
        </is>
      </c>
      <c r="C10" s="40" t="inlineStr">
        <is>
          <t>Sửa tuân thủ trước khi mở rộng; dừng tính năng không đạt luật; cập nhật điều khoản với khách</t>
        </is>
      </c>
      <c r="D10" s="40" t="inlineStr">
        <is>
          <t>Pháp chế + lãnh đạo</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Phát hành Mức 1 ngay: máy nhập, người duyệt 20%; đích tháng 6 là Mức 2 tự xác nhận 90% hoá đơn không cờ.</t>
        </is>
      </c>
      <c r="C4" s="58">
        <f>IF(TRIM(B4)="",0,LEN(TRIM(B4))-LEN(SUBSTITUTE(TRIM(B4)," ",""))+1)</f>
        <v/>
      </c>
      <c r="D4" s="50">
        <f>IF(C4=0,"Trống",IF(C4&gt;60,"Quá 60 chữ","Đạt"))</f>
        <v/>
      </c>
    </row>
    <row r="5" ht="33.75" customHeight="1" s="33">
      <c r="A5" s="57" t="inlineStr">
        <is>
          <t>3 việc chính</t>
        </is>
      </c>
      <c r="B5" s="40" t="inlineStr">
        <is>
          <t>1) Nhập tự động hoá đơn điện tử tệp gốc cho 40 văn phòng. 2) Gắn cờ, kế toán chỉ xem ≤ 25%. 3) Đọc ảnh hoá đơn giấy.</t>
        </is>
      </c>
      <c r="C5" s="58">
        <f>IF(TRIM(B5)="",0,LEN(TRIM(B5))-LEN(SUBSTITUTE(TRIM(B5)," ",""))+1)</f>
        <v/>
      </c>
      <c r="D5" s="50">
        <f>IF(C5=0,"Trống",IF(C5&gt;60,"Quá 60 chữ","Đạt"))</f>
        <v/>
      </c>
    </row>
    <row r="6" ht="33.75" customHeight="1" s="33">
      <c r="A6" s="57" t="inlineStr">
        <is>
          <t>Cần gì (người, tiền, dữ liệu)</t>
        </is>
      </c>
      <c r="B6" s="40" t="inlineStr">
        <is>
          <t>Cần 3 giờ/tuần của chị Hạnh, 8,5 giờ/vòng chấm bộ đề 40 ca, chi phí 704đ/việc, 20% hoá đơn có người duyệt.</t>
        </is>
      </c>
      <c r="C6" s="58">
        <f>IF(TRIM(B6)="",0,LEN(TRIM(B6))-LEN(SUBSTITUTE(TRIM(B6)," ",""))+1)</f>
        <v/>
      </c>
      <c r="D6" s="50">
        <f>IF(C6=0,"Trống",IF(C6&gt;60,"Quá 60 chữ","Đạt"))</f>
        <v/>
      </c>
    </row>
    <row r="7" ht="33.75" customHeight="1" s="33">
      <c r="A7" s="57" t="inlineStr">
        <is>
          <t>Rủi ro lớn nhất &amp; cách xử lý</t>
        </is>
      </c>
      <c r="B7" s="40" t="inlineStr">
        <is>
          <t>Rủi ro lớn nhất: lỗi mã số thuế/tiền. Xử lý: cảnh báo ngay khi có 1 lỗi, kiểm 1% tuần đầu, 0 lỗi mới lên mức.</t>
        </is>
      </c>
      <c r="C7" s="58">
        <f>IF(TRIM(B7)="",0,LEN(TRIM(B7))-LEN(SUBSTITUTE(TRIM(B7)," ",""))+1)</f>
        <v/>
      </c>
      <c r="D7" s="50">
        <f>IF(C7=0,"Trống",IF(C7&gt;60,"Quá 60 chữ","Đạt"))</f>
        <v/>
      </c>
    </row>
    <row r="8" ht="33.75" customHeight="1" s="33">
      <c r="A8" s="57" t="inlineStr">
        <is>
          <t>Khi nào xem lại</t>
        </is>
      </c>
      <c r="B8" s="40" t="inlineStr">
        <is>
          <t>Rà ngày 30, 60, 90; dừng nếu doanh thu dưới 3,71 triệu/văn phòng 2 tháng liên tiếp trên 10 văn phòng.</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row>
    <row r="9" ht="15" customHeight="1" s="33">
      <c r="A9" s="43" t="inlineStr">
        <is>
          <t>Slide lãnh đạo</t>
        </is>
      </c>
      <c r="B9" s="32" t="n">
        <v>20</v>
      </c>
      <c r="C9" s="59" t="inlineStr">
        <is>
          <t>Kết luận trước, ≤ 60 chữ mỗi ô, trả lời được "cần gì" và "khi nào xem lại"</t>
        </is>
      </c>
      <c r="D9" s="60" t="n"/>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2026-10-16T09:08:34Z</dcterms:modified>
  <cp:revision>0</cp:revision>
</cp:coreProperties>
</file>